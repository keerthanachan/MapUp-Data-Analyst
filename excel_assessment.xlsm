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handu\Downloads\"/>
    </mc:Choice>
  </mc:AlternateContent>
  <xr:revisionPtr revIDLastSave="0" documentId="8_{70CD5E6B-6A63-43A1-A014-2C6C948DAEE8}" xr6:coauthVersionLast="47" xr6:coauthVersionMax="47" xr10:uidLastSave="{00000000-0000-0000-0000-000000000000}"/>
  <bookViews>
    <workbookView xWindow="-110" yWindow="-110" windowWidth="19420" windowHeight="10300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30" i="18" l="1"/>
  <c r="D30" i="18"/>
  <c r="E30" i="18"/>
  <c r="F30" i="18"/>
  <c r="D29" i="18"/>
  <c r="E29" i="18"/>
  <c r="F29" i="18"/>
  <c r="G29" i="18"/>
  <c r="F28" i="18"/>
  <c r="D28" i="18"/>
  <c r="E28" i="18"/>
  <c r="C29" i="18"/>
  <c r="C28" i="18"/>
  <c r="B29" i="18"/>
  <c r="B28" i="18"/>
  <c r="B30" i="18"/>
  <c r="C5" i="15"/>
  <c r="C22" i="19"/>
</calcChain>
</file>

<file path=xl/sharedStrings.xml><?xml version="1.0" encoding="utf-8"?>
<sst xmlns="http://schemas.openxmlformats.org/spreadsheetml/2006/main" count="404" uniqueCount="179">
  <si>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</si>
  <si>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</si>
  <si>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</si>
  <si>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</si>
  <si>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</si>
  <si>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</si>
  <si>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</si>
  <si>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</si>
  <si>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</si>
  <si>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</si>
  <si>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</si>
  <si>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</si>
  <si>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</si>
  <si>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</si>
  <si>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</si>
  <si>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</si>
  <si>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</si>
  <si>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</si>
  <si>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</si>
  <si>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</si>
  <si>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</si>
  <si>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</si>
  <si>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</si>
  <si>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</si>
  <si>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</si>
  <si>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</si>
  <si>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</si>
  <si>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</si>
  <si>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</si>
  <si>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</si>
  <si>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</si>
  <si>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</si>
  <si>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</si>
  <si>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</si>
  <si>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</si>
  <si>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</si>
  <si>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</si>
  <si>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</si>
  <si>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</si>
  <si>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</si>
  <si>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</si>
  <si>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</si>
  <si>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</si>
  <si>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</si>
  <si>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</si>
  <si>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</si>
  <si>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</si>
  <si>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</si>
  <si>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</si>
  <si>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</si>
  <si>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</si>
  <si>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</si>
  <si>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</si>
  <si>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</si>
  <si>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</si>
  <si>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</si>
  <si>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</si>
  <si>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</si>
  <si>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</si>
  <si>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</si>
  <si>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</si>
  <si>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</si>
  <si>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</si>
  <si>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</si>
  <si>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</si>
  <si>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</si>
  <si>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</si>
  <si>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</si>
  <si>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</si>
  <si>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</si>
  <si>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</si>
  <si>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</si>
  <si>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</si>
  <si>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</si>
  <si>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</si>
  <si>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</si>
  <si>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</si>
  <si>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</si>
  <si>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</si>
  <si>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</si>
  <si>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</si>
  <si>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</si>
  <si>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</si>
  <si>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</si>
  <si>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</si>
  <si>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</si>
  <si>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</si>
  <si>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</si>
  <si>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</si>
  <si>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</si>
  <si>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</si>
  <si>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</si>
  <si>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</si>
  <si>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</si>
  <si>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</si>
  <si>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</si>
  <si>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</si>
  <si>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</si>
  <si>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</si>
  <si>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</si>
  <si>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</si>
  <si>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</si>
  <si>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</si>
  <si>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</si>
  <si>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</si>
  <si>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</si>
  <si>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</si>
  <si>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</si>
  <si>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</si>
  <si>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</si>
  <si>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</si>
  <si>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</si>
  <si>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</si>
  <si>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</si>
  <si>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</si>
  <si>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</si>
  <si>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</si>
  <si>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</si>
  <si>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</si>
  <si>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</si>
  <si>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</si>
  <si>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</si>
  <si>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</si>
  <si>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</si>
  <si>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</si>
  <si>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</si>
  <si>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</si>
  <si>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</si>
  <si>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</si>
  <si>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</si>
  <si>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</si>
  <si>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</si>
  <si>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</si>
  <si>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</si>
  <si>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</si>
  <si>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</si>
  <si>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</si>
  <si>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</si>
  <si>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</si>
  <si>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</si>
  <si>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</si>
  <si>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</si>
  <si>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</si>
  <si>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</si>
  <si>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</si>
  <si>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</si>
  <si>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</si>
  <si>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</si>
  <si>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</si>
  <si>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</si>
  <si>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</si>
  <si>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</si>
  <si>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</si>
  <si>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</si>
  <si>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</si>
  <si>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</si>
  <si>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</si>
  <si>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</si>
  <si>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</si>
  <si>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</si>
  <si>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</si>
  <si>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</si>
  <si>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</si>
  <si>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</si>
  <si>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</si>
  <si>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</si>
  <si>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</si>
  <si>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</si>
  <si>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</si>
  <si>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</si>
  <si>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</si>
  <si>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</si>
  <si>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</si>
  <si>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</si>
  <si>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</si>
  <si>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</si>
  <si>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</si>
  <si>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not found</t>
  </si>
  <si>
    <t>VIEW --&gt; FREEZE PANES --&gt; FREEZE TOP 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</si>
</sst>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23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0"/>
      <color theme="1"/>
      <name val="Times New Roman"/>
      <family val="1"/>
    </font>
    <font>
      <sz val="11"/>
      <color rgb="FF7030A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6" fillId="0" borderId="0">
      <alignment vertical="top" wrapText="1"/>
    </xf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6">
    <xf numFmtId="0" fontId="0" fillId="0" borderId="0" xfId="0"/>
    <xf numFmtId="0" fontId="4" fillId="0" borderId="0" xfId="0" applyFont="1"/>
    <xf numFmtId="0" fontId="9" fillId="0" borderId="0" xfId="0" applyFont="1"/>
    <xf numFmtId="0" fontId="8" fillId="0" borderId="0" xfId="0" applyFont="1"/>
    <xf numFmtId="0" fontId="12" fillId="4" borderId="0" xfId="0" applyFont="1" applyFill="1"/>
    <xf numFmtId="0" fontId="7" fillId="0" borderId="0" xfId="0" applyFont="1"/>
    <xf numFmtId="0" fontId="5" fillId="0" borderId="0" xfId="0" applyFont="1" applyAlignment="1">
      <alignment horizontal="center"/>
    </xf>
    <xf numFmtId="0" fontId="4" fillId="0" borderId="2" xfId="0" applyFont="1" applyBorder="1"/>
    <xf numFmtId="0" fontId="4" fillId="0" borderId="4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4" fillId="0" borderId="1" xfId="0" applyFont="1" applyBorder="1"/>
    <xf numFmtId="0" fontId="13" fillId="0" borderId="0" xfId="1" applyFont="1"/>
    <xf numFmtId="0" fontId="8" fillId="0" borderId="1" xfId="0" applyFont="1" applyBorder="1"/>
    <xf numFmtId="0" fontId="8" fillId="0" borderId="9" xfId="0" applyFont="1" applyBorder="1"/>
    <xf numFmtId="0" fontId="8" fillId="2" borderId="1" xfId="0" applyFont="1" applyFill="1" applyBorder="1"/>
    <xf numFmtId="0" fontId="8" fillId="3" borderId="1" xfId="0" applyFont="1" applyFill="1" applyBorder="1"/>
    <xf numFmtId="0" fontId="8" fillId="2" borderId="11" xfId="0" applyFont="1" applyFill="1" applyBorder="1"/>
    <xf numFmtId="164" fontId="4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5" fillId="0" borderId="0" xfId="0" applyFont="1"/>
    <xf numFmtId="164" fontId="5" fillId="0" borderId="0" xfId="0" applyNumberFormat="1" applyFont="1"/>
    <xf numFmtId="0" fontId="8" fillId="2" borderId="0" xfId="0" applyFont="1" applyFill="1"/>
    <xf numFmtId="0" fontId="8" fillId="3" borderId="0" xfId="0" applyFont="1" applyFill="1"/>
    <xf numFmtId="0" fontId="8" fillId="0" borderId="1" xfId="0" applyFont="1" applyBorder="1" applyAlignment="1">
      <alignment vertical="center"/>
    </xf>
    <xf numFmtId="0" fontId="15" fillId="0" borderId="0" xfId="0" applyFont="1"/>
    <xf numFmtId="0" fontId="9" fillId="0" borderId="2" xfId="0" applyFont="1" applyBorder="1"/>
    <xf numFmtId="0" fontId="10" fillId="0" borderId="9" xfId="0" applyFont="1" applyBorder="1"/>
    <xf numFmtId="0" fontId="9" fillId="0" borderId="7" xfId="0" applyFont="1" applyBorder="1"/>
    <xf numFmtId="0" fontId="9" fillId="0" borderId="9" xfId="0" applyFont="1" applyBorder="1"/>
    <xf numFmtId="0" fontId="14" fillId="0" borderId="1" xfId="0" applyFont="1" applyBorder="1"/>
    <xf numFmtId="0" fontId="16" fillId="0" borderId="0" xfId="0" applyFont="1"/>
    <xf numFmtId="0" fontId="17" fillId="0" borderId="0" xfId="0" applyFont="1"/>
    <xf numFmtId="0" fontId="18" fillId="4" borderId="0" xfId="1" applyFont="1" applyFill="1" applyAlignment="1">
      <alignment horizontal="center"/>
    </xf>
    <xf numFmtId="0" fontId="14" fillId="0" borderId="0" xfId="0" applyFont="1"/>
    <xf numFmtId="0" fontId="20" fillId="0" borderId="0" xfId="0" applyFont="1"/>
    <xf numFmtId="0" fontId="19" fillId="0" borderId="0" xfId="0" applyFont="1"/>
    <xf numFmtId="0" fontId="0" fillId="0" borderId="0" xfId="0"/>
    <xf numFmtId="0" fontId="4" fillId="0" borderId="0" xfId="0" applyFont="1"/>
    <xf numFmtId="0" fontId="9" fillId="0" borderId="0" xfId="0" applyFont="1"/>
    <xf numFmtId="0" fontId="4" fillId="0" borderId="3" xfId="0" applyFont="1" applyBorder="1"/>
    <xf numFmtId="0" fontId="4" fillId="0" borderId="5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1" xfId="0" applyFont="1" applyBorder="1"/>
    <xf numFmtId="0" fontId="9" fillId="0" borderId="1" xfId="0" applyFont="1" applyBorder="1"/>
    <xf numFmtId="165" fontId="4" fillId="0" borderId="1" xfId="0" applyNumberFormat="1" applyFont="1" applyBorder="1"/>
    <xf numFmtId="165" fontId="4" fillId="0" borderId="0" xfId="0" applyNumberFormat="1" applyFont="1"/>
    <xf numFmtId="0" fontId="21" fillId="6" borderId="12" xfId="0" applyFont="1" applyFill="1" applyBorder="1"/>
    <xf numFmtId="0" fontId="22" fillId="0" borderId="0" xfId="0" applyFont="1"/>
    <xf numFmtId="0" fontId="22" fillId="5" borderId="1" xfId="0" applyFont="1" applyFill="1" applyBorder="1"/>
  </cellXfs>
  <cellStyles count="19">
    <cellStyle name="Normal" xfId="0" builtinId="0"/>
    <cellStyle name="Normal 2" xfId="1" xr:uid="{00000000-0005-0000-0000-000001000000}"/>
    <cellStyle name="Normal 2 2" xfId="3" xr:uid="{00000000-0005-0000-0000-000003000000}"/>
    <cellStyle name="Normal 2 2 2" xfId="13" xr:uid="{88C04055-87BB-41DF-B345-79E30521252D}"/>
    <cellStyle name="Normal 2 3" xfId="7" xr:uid="{00000000-0005-0000-0000-000007000000}"/>
    <cellStyle name="Normal 2 3 2" xfId="16" xr:uid="{BC633AAD-061F-425A-B3BC-961CCBDADD8D}"/>
    <cellStyle name="Normal 2 4" xfId="11" xr:uid="{33F98843-5285-4A4F-A9F0-D302D47048A4}"/>
    <cellStyle name="Normal 3" xfId="2" xr:uid="{00000000-0005-0000-0000-000002000000}"/>
    <cellStyle name="Normal 3 2" xfId="8" xr:uid="{00000000-0005-0000-0000-000008000000}"/>
    <cellStyle name="Normal 3 2 2" xfId="17" xr:uid="{9871FC6E-54D8-48BD-8B9C-24ECC447AAB5}"/>
    <cellStyle name="Normal 3 3" xfId="12" xr:uid="{28B561BE-1499-405B-873A-90D97FE9AC26}"/>
    <cellStyle name="Normal 4" xfId="4" xr:uid="{00000000-0005-0000-0000-000004000000}"/>
    <cellStyle name="Normal 4 2" xfId="14" xr:uid="{F3FDCD18-0C1E-485B-A226-D1BEDE684729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5 3 2" xfId="18" xr:uid="{FB76078E-D8B5-46FA-BC5B-5EC96DD82E96}"/>
    <cellStyle name="Normal 5 4" xfId="15" xr:uid="{643E7EF3-9704-4B81-ABBD-107F8788C122}"/>
    <cellStyle name="Normal 7" xfId="9" xr:uid="{00000000-0005-0000-0000-000009000000}"/>
  </cellStyles>
  <dxfs count="29"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8"/>
      <tableStyleElement type="headerRow" dxfId="2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5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2" t="s">
        <v>171</v>
      </c>
      <c r="B9" s="24" t="s">
        <v>169</v>
      </c>
    </row>
    <row r="10" spans="1:3" x14ac:dyDescent="0.3">
      <c r="A10" s="31" t="s">
        <v>172</v>
      </c>
      <c r="B10" s="33">
        <v>25</v>
      </c>
    </row>
    <row r="11" spans="1:3" x14ac:dyDescent="0.3">
      <c r="A11" s="31" t="s">
        <v>55</v>
      </c>
      <c r="B11" s="33">
        <v>30</v>
      </c>
    </row>
    <row r="12" spans="1:3" x14ac:dyDescent="0.3">
      <c r="A12" s="31" t="s">
        <v>56</v>
      </c>
      <c r="B12" s="33">
        <v>10</v>
      </c>
    </row>
    <row r="13" spans="1:3" x14ac:dyDescent="0.3">
      <c r="A13" s="31" t="s">
        <v>85</v>
      </c>
      <c r="B13" s="33">
        <v>20</v>
      </c>
    </row>
    <row r="14" spans="1:3" x14ac:dyDescent="0.3">
      <c r="A14" s="31" t="s">
        <v>98</v>
      </c>
      <c r="B14" s="33">
        <v>40</v>
      </c>
    </row>
    <row r="15" spans="1:3" x14ac:dyDescent="0.3">
      <c r="A15" s="34" t="s">
        <v>170</v>
      </c>
      <c r="B15" s="23">
        <v>125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abSelected="1" zoomScaleNormal="100" workbookViewId="0">
      <pane ySplit="1" topLeftCell="A2" activePane="bottomLeft" state="frozen"/>
      <selection activeCell="O1" sqref="O1"/>
      <selection pane="bottomLeft" activeCell="A27" sqref="A27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2" customWidth="1"/>
    <col min="5" max="5" width="9.19921875" style="1" bestFit="1" customWidth="1"/>
    <col min="6" max="6" width="10.3984375" style="22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3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41">
        <v>-1</v>
      </c>
      <c r="K2" s="41">
        <v>-1</v>
      </c>
      <c r="L2" s="4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52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41">
        <v>-1</v>
      </c>
      <c r="K3" s="41">
        <v>-1</v>
      </c>
      <c r="L3" s="4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52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41">
        <v>-1</v>
      </c>
      <c r="K4" s="41">
        <v>-1</v>
      </c>
      <c r="L4" s="4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52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41">
        <v>-1</v>
      </c>
      <c r="K5" s="41">
        <v>-1</v>
      </c>
      <c r="L5" s="4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52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41">
        <v>-1</v>
      </c>
      <c r="K6" s="41">
        <v>-1</v>
      </c>
      <c r="L6" s="4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52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41">
        <v>-1</v>
      </c>
      <c r="K7" s="41">
        <v>-1</v>
      </c>
      <c r="L7" s="4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52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41">
        <v>-1</v>
      </c>
      <c r="K8" s="41">
        <v>-1</v>
      </c>
      <c r="L8" s="4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52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41">
        <v>-1</v>
      </c>
      <c r="K9" s="41">
        <v>-1</v>
      </c>
      <c r="L9" s="4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52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41">
        <v>-1</v>
      </c>
      <c r="K10" s="41">
        <v>-1</v>
      </c>
      <c r="L10" s="4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52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41">
        <v>-1</v>
      </c>
      <c r="K11" s="41">
        <v>-1</v>
      </c>
      <c r="L11" s="4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52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40">
        <v>0</v>
      </c>
      <c r="H12" s="40">
        <v>0</v>
      </c>
      <c r="I12" s="40">
        <v>0</v>
      </c>
      <c r="J12" s="40">
        <v>0</v>
      </c>
      <c r="K12" s="40">
        <v>0</v>
      </c>
      <c r="L12" s="40">
        <v>0</v>
      </c>
      <c r="M12" s="40">
        <v>0</v>
      </c>
      <c r="N12" s="40">
        <v>0</v>
      </c>
      <c r="O12" s="40">
        <v>0</v>
      </c>
      <c r="P12" s="40">
        <v>0</v>
      </c>
      <c r="Q12" s="40">
        <v>0</v>
      </c>
      <c r="R12" s="40">
        <v>0</v>
      </c>
      <c r="S12" s="40">
        <v>0</v>
      </c>
      <c r="T12" s="40">
        <v>0</v>
      </c>
      <c r="U12" s="40">
        <v>0</v>
      </c>
      <c r="V12" s="40">
        <v>0</v>
      </c>
      <c r="W12" s="40">
        <v>0</v>
      </c>
      <c r="X12" s="52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41">
        <v>-1</v>
      </c>
      <c r="K13" s="41">
        <v>-1</v>
      </c>
      <c r="L13" s="4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52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41">
        <v>-1</v>
      </c>
      <c r="K14" s="41">
        <v>-1</v>
      </c>
      <c r="L14" s="4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52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41">
        <v>-1</v>
      </c>
      <c r="K15" s="41">
        <v>-1</v>
      </c>
      <c r="L15" s="4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52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41">
        <v>-1</v>
      </c>
      <c r="K16" s="41">
        <v>-1</v>
      </c>
      <c r="L16" s="4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52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41">
        <v>-1</v>
      </c>
      <c r="K17" s="41">
        <v>-1</v>
      </c>
      <c r="L17" s="4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52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41">
        <v>-1</v>
      </c>
      <c r="K18" s="41">
        <v>-1</v>
      </c>
      <c r="L18" s="4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52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41">
        <v>-1</v>
      </c>
      <c r="K19" s="41">
        <v>-1</v>
      </c>
      <c r="L19" s="4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52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41">
        <v>-1</v>
      </c>
      <c r="K20" s="41">
        <v>-1</v>
      </c>
      <c r="L20" s="4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52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41">
        <v>-1</v>
      </c>
      <c r="K21" s="41">
        <v>-1</v>
      </c>
      <c r="L21" s="4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52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41">
        <v>-1</v>
      </c>
      <c r="K22" s="41">
        <v>-1</v>
      </c>
      <c r="L22" s="4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52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41">
        <v>-1</v>
      </c>
      <c r="K23" s="41">
        <v>-1</v>
      </c>
      <c r="L23" s="4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52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41">
        <v>-1</v>
      </c>
      <c r="K24" s="41">
        <v>-1</v>
      </c>
      <c r="L24" s="4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52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41">
        <v>-1</v>
      </c>
      <c r="K25" s="41">
        <v>-1</v>
      </c>
      <c r="L25" s="4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52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40">
        <v>0</v>
      </c>
      <c r="H26" s="40">
        <v>0</v>
      </c>
      <c r="I26" s="40">
        <v>0</v>
      </c>
      <c r="J26" s="40">
        <v>0</v>
      </c>
      <c r="K26" s="40">
        <v>0</v>
      </c>
      <c r="L26" s="40">
        <v>0</v>
      </c>
      <c r="M26" s="40">
        <v>0</v>
      </c>
      <c r="N26" s="40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52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41">
        <v>-1</v>
      </c>
      <c r="K27" s="41">
        <v>-1</v>
      </c>
      <c r="L27" s="4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52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41">
        <v>-1</v>
      </c>
      <c r="K28" s="41">
        <v>-1</v>
      </c>
      <c r="L28" s="4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52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41">
        <v>-1</v>
      </c>
      <c r="K29" s="41">
        <v>-1</v>
      </c>
      <c r="L29" s="4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52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41">
        <v>-1</v>
      </c>
      <c r="H30" s="41">
        <v>-1</v>
      </c>
      <c r="I30" s="41">
        <v>-1</v>
      </c>
      <c r="J30" s="41">
        <v>-1</v>
      </c>
      <c r="K30" s="41">
        <v>-1</v>
      </c>
      <c r="L30" s="41">
        <v>-1</v>
      </c>
      <c r="M30" s="41">
        <v>-1</v>
      </c>
      <c r="N30" s="41">
        <v>-1</v>
      </c>
      <c r="O30" s="41">
        <v>-1</v>
      </c>
      <c r="P30" s="41">
        <v>-1</v>
      </c>
      <c r="Q30" s="41">
        <v>-1</v>
      </c>
      <c r="R30" s="41">
        <v>-1</v>
      </c>
      <c r="S30" s="41">
        <v>-1</v>
      </c>
      <c r="T30" s="41">
        <v>-1</v>
      </c>
      <c r="U30" s="41">
        <v>-1</v>
      </c>
      <c r="V30" s="41">
        <v>-1</v>
      </c>
      <c r="W30" s="41">
        <v>-1</v>
      </c>
      <c r="X30" s="52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41">
        <v>-1</v>
      </c>
      <c r="K31" s="41">
        <v>-1</v>
      </c>
      <c r="L31" s="4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52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41">
        <v>-1</v>
      </c>
      <c r="H32" s="41">
        <v>-1</v>
      </c>
      <c r="I32" s="41">
        <v>-1</v>
      </c>
      <c r="J32" s="41">
        <v>-1</v>
      </c>
      <c r="K32" s="41">
        <v>-1</v>
      </c>
      <c r="L32" s="41">
        <v>-1</v>
      </c>
      <c r="M32" s="41">
        <v>-1</v>
      </c>
      <c r="N32" s="41">
        <v>-1</v>
      </c>
      <c r="O32" s="41">
        <v>-1</v>
      </c>
      <c r="P32" s="41">
        <v>-1</v>
      </c>
      <c r="Q32" s="41">
        <v>-1</v>
      </c>
      <c r="R32" s="41">
        <v>-1</v>
      </c>
      <c r="S32" s="41">
        <v>-1</v>
      </c>
      <c r="T32" s="41">
        <v>-1</v>
      </c>
      <c r="U32" s="41">
        <v>-1</v>
      </c>
      <c r="V32" s="41">
        <v>-1</v>
      </c>
      <c r="W32" s="41">
        <v>-1</v>
      </c>
      <c r="X32" s="52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41">
        <v>-1</v>
      </c>
      <c r="K33" s="41">
        <v>-1</v>
      </c>
      <c r="L33" s="4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52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41">
        <v>-1</v>
      </c>
      <c r="K34" s="41">
        <v>-1</v>
      </c>
      <c r="L34" s="4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52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41">
        <v>-1</v>
      </c>
      <c r="K35" s="41">
        <v>-1</v>
      </c>
      <c r="L35" s="4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52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41">
        <v>-1</v>
      </c>
      <c r="K36" s="41">
        <v>-1</v>
      </c>
      <c r="L36" s="4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52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41">
        <v>-1</v>
      </c>
      <c r="K37" s="41">
        <v>-1</v>
      </c>
      <c r="L37" s="4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52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41">
        <v>-1</v>
      </c>
      <c r="K38" s="41">
        <v>-1</v>
      </c>
      <c r="L38" s="4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52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41">
        <v>-1</v>
      </c>
      <c r="K39" s="41">
        <v>-1</v>
      </c>
      <c r="L39" s="4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52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41">
        <v>-1</v>
      </c>
      <c r="K40" s="41">
        <v>-1</v>
      </c>
      <c r="L40" s="4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52">
        <v>45162</v>
      </c>
    </row>
  </sheetData>
  <conditionalFormatting sqref="A1:A1048576">
    <cfRule type="duplicateValues" dxfId="26" priority="21"/>
  </conditionalFormatting>
  <conditionalFormatting sqref="B1:B1048576">
    <cfRule type="duplicateValues" dxfId="25" priority="20"/>
  </conditionalFormatting>
  <conditionalFormatting sqref="J2:L11">
    <cfRule type="cellIs" dxfId="24" priority="19" operator="greaterThan">
      <formula>-1</formula>
    </cfRule>
    <cfRule type="colorScale" priority="18">
      <colorScale>
        <cfvo type="min"/>
        <cfvo type="max"/>
        <color rgb="FFFF0000"/>
        <color rgb="FFFFEF9C"/>
      </colorScale>
    </cfRule>
  </conditionalFormatting>
  <conditionalFormatting sqref="J13:L25">
    <cfRule type="colorScale" priority="17">
      <colorScale>
        <cfvo type="min"/>
        <cfvo type="max"/>
        <color rgb="FFFF0000"/>
        <color rgb="FFFFEF9C"/>
      </colorScale>
    </cfRule>
  </conditionalFormatting>
  <conditionalFormatting sqref="J27:L40">
    <cfRule type="colorScale" priority="16">
      <colorScale>
        <cfvo type="min"/>
        <cfvo type="max"/>
        <color rgb="FFFF0000"/>
        <color rgb="FFFFEF9C"/>
      </colorScale>
    </cfRule>
  </conditionalFormatting>
  <conditionalFormatting sqref="G30:W30">
    <cfRule type="colorScale" priority="15">
      <colorScale>
        <cfvo type="min"/>
        <cfvo type="max"/>
        <color rgb="FFFF0000"/>
        <color rgb="FFFFEF9C"/>
      </colorScale>
    </cfRule>
  </conditionalFormatting>
  <conditionalFormatting sqref="G32:W32">
    <cfRule type="colorScale" priority="14">
      <colorScale>
        <cfvo type="min"/>
        <cfvo type="max"/>
        <color rgb="FFFF0000"/>
        <color rgb="FFFFEF9C"/>
      </colorScale>
    </cfRule>
  </conditionalFormatting>
  <conditionalFormatting sqref="G12:N12">
    <cfRule type="colorScale" priority="13">
      <colorScale>
        <cfvo type="min"/>
        <cfvo type="max"/>
        <color rgb="FF00B050"/>
        <color theme="5"/>
      </colorScale>
    </cfRule>
    <cfRule type="colorScale" priority="12">
      <colorScale>
        <cfvo type="min"/>
        <cfvo type="max"/>
        <color rgb="FF00B050"/>
        <color theme="8" tint="0.39997558519241921"/>
      </colorScale>
    </cfRule>
  </conditionalFormatting>
  <conditionalFormatting sqref="G26:N26">
    <cfRule type="colorScale" priority="11">
      <colorScale>
        <cfvo type="min"/>
        <cfvo type="max"/>
        <color rgb="FF00B050"/>
        <color theme="8" tint="0.39997558519241921"/>
      </colorScale>
    </cfRule>
  </conditionalFormatting>
  <conditionalFormatting sqref="O12:W12">
    <cfRule type="colorScale" priority="10">
      <colorScale>
        <cfvo type="min"/>
        <cfvo type="max"/>
        <color rgb="FF00B050"/>
        <color theme="8" tint="0.39997558519241921"/>
      </colorScale>
    </cfRule>
  </conditionalFormatting>
  <conditionalFormatting sqref="O26:W26">
    <cfRule type="colorScale" priority="9">
      <colorScale>
        <cfvo type="min"/>
        <cfvo type="max"/>
        <color rgb="FF00B050"/>
        <color theme="8" tint="0.39997558519241921"/>
      </colorScale>
    </cfRule>
  </conditionalFormatting>
  <conditionalFormatting sqref="X2:X40">
    <cfRule type="cellIs" dxfId="11" priority="2" operator="equal">
      <formula>-1</formula>
    </cfRule>
    <cfRule type="cellIs" dxfId="10" priority="4" operator="equal">
      <formula>-1</formula>
    </cfRule>
  </conditionalFormatting>
  <conditionalFormatting sqref="X2:X40">
    <cfRule type="cellIs" dxfId="9" priority="1" operator="equal">
      <formula>0</formula>
    </cfRule>
    <cfRule type="cellIs" dxfId="8" priority="3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25" sqref="B25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44.19921875" style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44" t="s">
        <v>178</v>
      </c>
      <c r="E4" s="1">
        <v>5</v>
      </c>
    </row>
    <row r="5" spans="1:5" x14ac:dyDescent="0.35">
      <c r="A5" s="6">
        <v>3</v>
      </c>
      <c r="B5" s="2" t="s">
        <v>104</v>
      </c>
      <c r="C5" s="30">
        <f>SUMIF(H2:H31,"&gt;20")</f>
        <v>0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44"/>
  <sheetViews>
    <sheetView topLeftCell="A10" zoomScaleNormal="100" workbookViewId="0">
      <selection activeCell="I31" sqref="I31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7" customFormat="1" ht="21" x14ac:dyDescent="0.5">
      <c r="A1" s="38" t="s">
        <v>55</v>
      </c>
      <c r="B1" s="37" t="s">
        <v>164</v>
      </c>
    </row>
    <row r="2" spans="1:7" s="37" customFormat="1" ht="21" x14ac:dyDescent="0.5">
      <c r="B2" s="37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6" t="s">
        <v>162</v>
      </c>
      <c r="B4" s="1"/>
      <c r="C4" s="1"/>
      <c r="D4" s="1"/>
      <c r="E4" s="1"/>
      <c r="F4" s="1"/>
      <c r="G4" s="1"/>
    </row>
    <row r="5" spans="1:7" ht="14.5" x14ac:dyDescent="0.35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4.5" x14ac:dyDescent="0.35">
      <c r="A6" s="7" t="s">
        <v>40</v>
      </c>
      <c r="B6" s="43">
        <v>2.7</v>
      </c>
      <c r="C6" s="43">
        <v>7.6</v>
      </c>
      <c r="D6" s="43">
        <v>4.2</v>
      </c>
      <c r="E6" s="43">
        <v>8.9</v>
      </c>
      <c r="F6" s="45">
        <v>4.2</v>
      </c>
    </row>
    <row r="7" spans="1:7" ht="14.5" x14ac:dyDescent="0.35">
      <c r="A7" s="7" t="s">
        <v>4</v>
      </c>
      <c r="B7" s="43">
        <v>2.7</v>
      </c>
      <c r="C7" s="43">
        <v>7.6</v>
      </c>
      <c r="D7" s="43">
        <v>4.2</v>
      </c>
      <c r="E7" s="43">
        <v>8.9</v>
      </c>
      <c r="F7" s="45">
        <v>4.2</v>
      </c>
    </row>
    <row r="8" spans="1:7" ht="14.5" x14ac:dyDescent="0.35">
      <c r="A8" s="7" t="s">
        <v>7</v>
      </c>
      <c r="B8" s="43">
        <v>3.6</v>
      </c>
      <c r="C8" s="43">
        <v>11.1</v>
      </c>
      <c r="D8" s="43">
        <v>5.8</v>
      </c>
      <c r="E8" s="43">
        <v>12.2</v>
      </c>
      <c r="F8" s="45">
        <v>5.8</v>
      </c>
    </row>
    <row r="9" spans="1:7" ht="14.5" x14ac:dyDescent="0.35">
      <c r="A9" s="7" t="s">
        <v>8</v>
      </c>
      <c r="B9" s="43">
        <v>4.9000000000000004</v>
      </c>
      <c r="C9" s="43">
        <v>13.3</v>
      </c>
      <c r="D9" s="43">
        <v>8.1</v>
      </c>
      <c r="E9" s="43">
        <v>17</v>
      </c>
      <c r="F9" s="45">
        <v>8.1</v>
      </c>
    </row>
    <row r="10" spans="1:7" ht="14.5" x14ac:dyDescent="0.35">
      <c r="A10" s="7" t="s">
        <v>11</v>
      </c>
      <c r="B10" s="43">
        <v>9.4</v>
      </c>
      <c r="C10" s="43">
        <v>28.3</v>
      </c>
      <c r="D10" s="43">
        <v>16.100000000000001</v>
      </c>
      <c r="E10" s="43">
        <v>31.8</v>
      </c>
      <c r="F10" s="45">
        <v>16.100000000000001</v>
      </c>
    </row>
    <row r="11" spans="1:7" ht="14.5" x14ac:dyDescent="0.35">
      <c r="A11" s="7" t="s">
        <v>12</v>
      </c>
      <c r="B11" s="43">
        <v>11.6</v>
      </c>
      <c r="C11" s="43">
        <v>35.200000000000003</v>
      </c>
      <c r="D11" s="43">
        <v>21.3</v>
      </c>
      <c r="E11" s="43">
        <v>43</v>
      </c>
      <c r="F11" s="45">
        <v>21.3</v>
      </c>
    </row>
    <row r="12" spans="1:7" ht="14.5" x14ac:dyDescent="0.35">
      <c r="A12" s="7" t="s">
        <v>14</v>
      </c>
      <c r="B12" s="43">
        <v>18.399999999999999</v>
      </c>
      <c r="C12" s="43">
        <v>55.6</v>
      </c>
      <c r="D12" s="43">
        <v>33.799999999999997</v>
      </c>
      <c r="E12" s="43">
        <v>67.900000000000006</v>
      </c>
      <c r="F12" s="45">
        <v>33.799999999999997</v>
      </c>
    </row>
    <row r="13" spans="1:7" ht="14.5" x14ac:dyDescent="0.35">
      <c r="A13" s="7" t="s">
        <v>15</v>
      </c>
      <c r="B13" s="43">
        <v>0</v>
      </c>
      <c r="C13" s="40">
        <v>0</v>
      </c>
      <c r="D13" s="43">
        <v>0</v>
      </c>
      <c r="E13" s="43">
        <v>0</v>
      </c>
      <c r="F13" s="45">
        <v>0</v>
      </c>
    </row>
    <row r="14" spans="1:7" ht="14.5" x14ac:dyDescent="0.35">
      <c r="A14" s="7" t="s">
        <v>16</v>
      </c>
      <c r="B14" s="43">
        <v>21.9</v>
      </c>
      <c r="C14" s="43">
        <v>61.5</v>
      </c>
      <c r="D14" s="43">
        <v>40.1</v>
      </c>
      <c r="E14" s="43">
        <v>76.599999999999994</v>
      </c>
      <c r="F14" s="45">
        <v>40.1</v>
      </c>
    </row>
    <row r="15" spans="1:7" ht="14.5" x14ac:dyDescent="0.35">
      <c r="A15" s="7" t="s">
        <v>18</v>
      </c>
      <c r="B15" s="43">
        <v>26.8</v>
      </c>
      <c r="C15" s="43">
        <v>79.599999999999994</v>
      </c>
      <c r="D15" s="43">
        <v>47.9</v>
      </c>
      <c r="E15" s="43">
        <v>96.8</v>
      </c>
      <c r="F15" s="45">
        <v>47.9</v>
      </c>
    </row>
    <row r="16" spans="1:7" ht="14.5" x14ac:dyDescent="0.35">
      <c r="A16" s="7" t="s">
        <v>20</v>
      </c>
      <c r="B16" s="40">
        <v>28.5</v>
      </c>
      <c r="C16" s="43">
        <v>85.4</v>
      </c>
      <c r="D16" s="40">
        <v>52.3</v>
      </c>
      <c r="E16" s="40">
        <v>106.1</v>
      </c>
      <c r="F16" s="45">
        <v>52.3</v>
      </c>
    </row>
    <row r="17" spans="1:7" ht="14.5" x14ac:dyDescent="0.35">
      <c r="A17" s="7" t="s">
        <v>22</v>
      </c>
      <c r="B17" s="43">
        <v>30.7</v>
      </c>
      <c r="C17" s="41">
        <v>92.1</v>
      </c>
      <c r="D17" s="43">
        <v>57</v>
      </c>
      <c r="E17" s="43">
        <v>115.1</v>
      </c>
      <c r="F17" s="45">
        <v>57</v>
      </c>
    </row>
    <row r="18" spans="1:7" ht="14.5" x14ac:dyDescent="0.35">
      <c r="A18" s="7" t="s">
        <v>23</v>
      </c>
      <c r="B18" s="43">
        <v>33.799999999999997</v>
      </c>
      <c r="C18" s="43">
        <v>101.3</v>
      </c>
      <c r="D18" s="43">
        <v>61.4</v>
      </c>
      <c r="E18" s="43">
        <v>124.4</v>
      </c>
      <c r="F18" s="45">
        <v>61.4</v>
      </c>
    </row>
    <row r="19" spans="1:7" ht="14.5" x14ac:dyDescent="0.35">
      <c r="A19" s="7" t="s">
        <v>24</v>
      </c>
      <c r="B19" s="43">
        <v>34.700000000000003</v>
      </c>
      <c r="C19" s="41">
        <v>106.1</v>
      </c>
      <c r="D19" s="43">
        <v>63.6</v>
      </c>
      <c r="E19" s="43">
        <v>128.6</v>
      </c>
      <c r="F19" s="45">
        <v>63.6</v>
      </c>
    </row>
    <row r="20" spans="1:7" ht="14.5" x14ac:dyDescent="0.35">
      <c r="A20" s="7" t="s">
        <v>28</v>
      </c>
      <c r="B20" s="43">
        <v>0</v>
      </c>
      <c r="C20" s="43">
        <v>0</v>
      </c>
      <c r="D20" s="43">
        <v>0</v>
      </c>
      <c r="E20" s="43">
        <v>0</v>
      </c>
      <c r="F20" s="45">
        <v>0</v>
      </c>
    </row>
    <row r="21" spans="1:7" ht="14.5" x14ac:dyDescent="0.35">
      <c r="A21" s="7" t="s">
        <v>57</v>
      </c>
      <c r="B21" s="43">
        <v>41.3</v>
      </c>
      <c r="C21" s="43">
        <v>124.4</v>
      </c>
      <c r="D21" s="43">
        <v>75</v>
      </c>
      <c r="E21" s="43">
        <v>151.5</v>
      </c>
      <c r="F21" s="45">
        <v>75</v>
      </c>
    </row>
    <row r="22" spans="1:7" ht="14.5" x14ac:dyDescent="0.35">
      <c r="A22" s="7" t="s">
        <v>58</v>
      </c>
      <c r="B22" s="43">
        <v>-1</v>
      </c>
      <c r="C22" s="43">
        <v>-1</v>
      </c>
      <c r="D22" s="43">
        <v>-1</v>
      </c>
      <c r="E22" s="43">
        <v>-1</v>
      </c>
      <c r="F22" s="45">
        <v>-1</v>
      </c>
    </row>
    <row r="23" spans="1:7" ht="14.5" x14ac:dyDescent="0.35">
      <c r="A23" s="7" t="s">
        <v>31</v>
      </c>
      <c r="B23" s="43">
        <v>45</v>
      </c>
      <c r="C23" s="43">
        <v>133.4</v>
      </c>
      <c r="D23" s="43">
        <v>79.400000000000006</v>
      </c>
      <c r="E23" s="45">
        <v>160.9</v>
      </c>
      <c r="F23" s="45">
        <v>79.400000000000006</v>
      </c>
    </row>
    <row r="24" spans="1:7" ht="14.5" x14ac:dyDescent="0.35">
      <c r="A24" s="7" t="s">
        <v>32</v>
      </c>
      <c r="B24" s="43">
        <v>-1</v>
      </c>
      <c r="C24" s="43">
        <v>-1</v>
      </c>
      <c r="D24" s="43">
        <v>-1</v>
      </c>
      <c r="E24" s="43">
        <v>-1</v>
      </c>
      <c r="F24" s="43">
        <v>-1</v>
      </c>
    </row>
    <row r="25" spans="1:7" ht="14.5" x14ac:dyDescent="0.35">
      <c r="A25" s="7" t="s">
        <v>34</v>
      </c>
      <c r="B25" s="43">
        <v>43.3</v>
      </c>
      <c r="C25" s="43">
        <v>128.6</v>
      </c>
      <c r="D25" s="43">
        <v>79.400000000000006</v>
      </c>
      <c r="E25" s="45">
        <v>160.9</v>
      </c>
      <c r="F25" s="45">
        <v>79.400000000000006</v>
      </c>
      <c r="G25" s="44"/>
    </row>
    <row r="26" spans="1:7" ht="14.5" x14ac:dyDescent="0.35">
      <c r="A26" s="7" t="s">
        <v>37</v>
      </c>
      <c r="B26" s="43">
        <v>49.1</v>
      </c>
      <c r="C26" s="43">
        <v>146.80000000000001</v>
      </c>
      <c r="D26" s="43">
        <v>90.9</v>
      </c>
      <c r="E26" s="43">
        <v>183.5</v>
      </c>
      <c r="F26" s="45">
        <v>90.9</v>
      </c>
    </row>
    <row r="27" spans="1:7" ht="14.5" x14ac:dyDescent="0.35">
      <c r="A27" s="7" t="s">
        <v>39</v>
      </c>
      <c r="B27" s="43">
        <v>51.8</v>
      </c>
      <c r="C27" s="43">
        <v>156.4</v>
      </c>
      <c r="D27" s="43">
        <v>93.1</v>
      </c>
      <c r="E27" s="43">
        <v>188.1</v>
      </c>
      <c r="F27" s="45">
        <v>93.1</v>
      </c>
    </row>
    <row r="28" spans="1:7" ht="14.5" x14ac:dyDescent="0.35">
      <c r="A28" s="17" t="s">
        <v>82</v>
      </c>
      <c r="B28" s="54">
        <f>MIN(B6:B27)</f>
        <v>-1</v>
      </c>
      <c r="C28" s="55">
        <f>MIN(C6:C27)</f>
        <v>-1</v>
      </c>
      <c r="D28" s="55">
        <f t="shared" ref="D28:E28" si="0">MIN(D6:D27)</f>
        <v>-1</v>
      </c>
      <c r="E28" s="55">
        <f t="shared" si="0"/>
        <v>-1</v>
      </c>
      <c r="F28" s="55">
        <f>MIN(F6:F27)</f>
        <v>-1</v>
      </c>
    </row>
    <row r="29" spans="1:7" ht="14.5" x14ac:dyDescent="0.35">
      <c r="A29" s="17" t="s">
        <v>83</v>
      </c>
      <c r="B29" s="54">
        <f>MAX(B6:B27)</f>
        <v>51.8</v>
      </c>
      <c r="C29" s="54">
        <f>MAX(C6:C27)</f>
        <v>156.4</v>
      </c>
      <c r="D29" s="54">
        <f t="shared" ref="D29:G29" si="1">MAX(D6:D27)</f>
        <v>93.1</v>
      </c>
      <c r="E29" s="54">
        <f t="shared" si="1"/>
        <v>188.1</v>
      </c>
      <c r="F29" s="54">
        <f t="shared" si="1"/>
        <v>93.1</v>
      </c>
      <c r="G29" s="43">
        <f t="shared" si="1"/>
        <v>0</v>
      </c>
    </row>
    <row r="30" spans="1:7" ht="14.5" x14ac:dyDescent="0.35">
      <c r="A30" s="17" t="s">
        <v>84</v>
      </c>
      <c r="B30" s="54">
        <f>AVERAGE(B6:B27)</f>
        <v>20.827272727272728</v>
      </c>
      <c r="C30" s="54">
        <f t="shared" ref="C30:F30" si="2">AVERAGE(C6:C27)</f>
        <v>62.377272727272725</v>
      </c>
      <c r="D30" s="54">
        <f t="shared" si="2"/>
        <v>37.800000000000004</v>
      </c>
      <c r="E30" s="54">
        <f t="shared" si="2"/>
        <v>76.372727272727275</v>
      </c>
      <c r="F30" s="54">
        <f t="shared" si="2"/>
        <v>37.800000000000004</v>
      </c>
    </row>
    <row r="31" spans="1:7" ht="14.5" x14ac:dyDescent="0.35">
      <c r="B31" s="43"/>
      <c r="D31" s="43"/>
      <c r="E31" s="43"/>
    </row>
    <row r="32" spans="1:7" ht="14.5" x14ac:dyDescent="0.35">
      <c r="B32" s="43"/>
      <c r="D32" s="43"/>
      <c r="E32" s="43"/>
    </row>
    <row r="33" spans="2:5" ht="14.5" x14ac:dyDescent="0.35">
      <c r="B33" s="43"/>
      <c r="D33" s="43"/>
      <c r="E33" s="43"/>
    </row>
    <row r="34" spans="2:5" ht="14.5" x14ac:dyDescent="0.35">
      <c r="B34" s="41"/>
      <c r="D34" s="41"/>
      <c r="E34" s="41"/>
    </row>
    <row r="35" spans="2:5" ht="14.5" x14ac:dyDescent="0.35">
      <c r="B35" s="43"/>
      <c r="D35" s="43"/>
      <c r="E35" s="43"/>
    </row>
    <row r="36" spans="2:5" ht="14.5" x14ac:dyDescent="0.35">
      <c r="B36" s="41"/>
      <c r="D36" s="41"/>
      <c r="E36" s="41"/>
    </row>
    <row r="37" spans="2:5" ht="14.5" x14ac:dyDescent="0.35">
      <c r="B37" s="43"/>
      <c r="D37" s="43"/>
      <c r="E37" s="43"/>
    </row>
    <row r="38" spans="2:5" ht="14.5" x14ac:dyDescent="0.35">
      <c r="B38" s="43"/>
      <c r="D38" s="43"/>
      <c r="E38" s="43"/>
    </row>
    <row r="39" spans="2:5" ht="14.5" x14ac:dyDescent="0.35">
      <c r="B39" s="43"/>
      <c r="D39" s="43"/>
      <c r="E39" s="43"/>
    </row>
    <row r="40" spans="2:5" ht="14.5" x14ac:dyDescent="0.35">
      <c r="B40" s="43"/>
      <c r="D40" s="43"/>
      <c r="E40" s="43"/>
    </row>
    <row r="41" spans="2:5" ht="14.5" x14ac:dyDescent="0.35">
      <c r="B41" s="43"/>
      <c r="D41" s="43"/>
      <c r="E41" s="43"/>
    </row>
    <row r="42" spans="2:5" ht="14.5" x14ac:dyDescent="0.35">
      <c r="B42" s="43"/>
      <c r="D42" s="43"/>
      <c r="E42" s="43"/>
    </row>
    <row r="43" spans="2:5" ht="14.5" x14ac:dyDescent="0.35">
      <c r="B43" s="43"/>
      <c r="D43" s="43"/>
      <c r="E43" s="43"/>
    </row>
    <row r="44" spans="2:5" ht="14.5" x14ac:dyDescent="0.35">
      <c r="B44" s="43"/>
      <c r="D44" s="43"/>
      <c r="E44" s="43"/>
    </row>
  </sheetData>
  <conditionalFormatting sqref="B34">
    <cfRule type="colorScale" priority="26">
      <colorScale>
        <cfvo type="min"/>
        <cfvo type="max"/>
        <color rgb="FFFF0000"/>
        <color rgb="FFFFEF9C"/>
      </colorScale>
    </cfRule>
  </conditionalFormatting>
  <conditionalFormatting sqref="B36">
    <cfRule type="colorScale" priority="25">
      <colorScale>
        <cfvo type="min"/>
        <cfvo type="max"/>
        <color rgb="FFFF0000"/>
        <color rgb="FFFFEF9C"/>
      </colorScale>
    </cfRule>
  </conditionalFormatting>
  <conditionalFormatting sqref="D34">
    <cfRule type="colorScale" priority="10">
      <colorScale>
        <cfvo type="min"/>
        <cfvo type="max"/>
        <color rgb="FFFF0000"/>
        <color rgb="FFFFEF9C"/>
      </colorScale>
    </cfRule>
  </conditionalFormatting>
  <conditionalFormatting sqref="D36">
    <cfRule type="colorScale" priority="9">
      <colorScale>
        <cfvo type="min"/>
        <cfvo type="max"/>
        <color rgb="FFFF0000"/>
        <color rgb="FFFFEF9C"/>
      </colorScale>
    </cfRule>
  </conditionalFormatting>
  <conditionalFormatting sqref="E34">
    <cfRule type="colorScale" priority="6">
      <colorScale>
        <cfvo type="min"/>
        <cfvo type="max"/>
        <color rgb="FFFF0000"/>
        <color rgb="FFFFEF9C"/>
      </colorScale>
    </cfRule>
  </conditionalFormatting>
  <conditionalFormatting sqref="E36">
    <cfRule type="colorScale" priority="5">
      <colorScale>
        <cfvo type="min"/>
        <cfvo type="max"/>
        <color rgb="FFFF0000"/>
        <color rgb="FFFFEF9C"/>
      </colorScale>
    </cfRule>
  </conditionalFormatting>
  <conditionalFormatting sqref="B28:F30">
    <cfRule type="colorScale" priority="2">
      <colorScale>
        <cfvo type="min"/>
        <cfvo type="max"/>
        <color theme="4"/>
        <color rgb="FFFFEF9C"/>
      </colorScale>
    </cfRule>
    <cfRule type="colorScale" priority="1">
      <colorScale>
        <cfvo type="min"/>
        <cfvo type="max"/>
        <color theme="8" tint="0.39997558519241921"/>
        <color rgb="FFFFEF9C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45" zoomScaleNormal="100" workbookViewId="0">
      <selection activeCell="B32" sqref="B32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37" customFormat="1" ht="21" x14ac:dyDescent="0.5">
      <c r="A1" s="38" t="s">
        <v>56</v>
      </c>
      <c r="B1" s="37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39" t="s">
        <v>53</v>
      </c>
      <c r="B5" s="36"/>
    </row>
    <row r="6" spans="1:10" ht="18.5" x14ac:dyDescent="0.45">
      <c r="A6" s="39" t="s">
        <v>153</v>
      </c>
      <c r="B6" s="36"/>
    </row>
    <row r="7" spans="1:10" ht="18.5" x14ac:dyDescent="0.45">
      <c r="A7" s="39"/>
      <c r="B7" s="36"/>
    </row>
    <row r="9" spans="1:10" ht="23.5" x14ac:dyDescent="0.55000000000000004">
      <c r="A9" s="16" t="s">
        <v>165</v>
      </c>
      <c r="I9" s="2"/>
      <c r="J9" s="2"/>
    </row>
    <row r="10" spans="1:10" x14ac:dyDescent="0.35">
      <c r="A10" s="29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5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5" x14ac:dyDescent="0.55000000000000004">
      <c r="A14" s="16" t="s">
        <v>162</v>
      </c>
    </row>
    <row r="15" spans="1:10" x14ac:dyDescent="0.35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35">
      <c r="A16" s="7" t="s">
        <v>121</v>
      </c>
      <c r="B16" s="47">
        <v>20000</v>
      </c>
      <c r="C16" s="43" t="s">
        <v>5</v>
      </c>
      <c r="D16" s="47">
        <v>0</v>
      </c>
      <c r="E16" s="43" t="s">
        <v>6</v>
      </c>
      <c r="F16" s="47">
        <v>24</v>
      </c>
    </row>
    <row r="17" spans="1:6" x14ac:dyDescent="0.35">
      <c r="A17" s="7" t="s">
        <v>122</v>
      </c>
      <c r="B17" s="47">
        <v>20002</v>
      </c>
      <c r="C17" s="43" t="s">
        <v>5</v>
      </c>
      <c r="D17" s="47">
        <v>0</v>
      </c>
      <c r="E17" s="43" t="s">
        <v>6</v>
      </c>
      <c r="F17" s="47">
        <v>24</v>
      </c>
    </row>
    <row r="18" spans="1:6" x14ac:dyDescent="0.35">
      <c r="A18" s="7" t="s">
        <v>123</v>
      </c>
      <c r="B18" s="47">
        <v>20004</v>
      </c>
      <c r="C18" s="43" t="s">
        <v>5</v>
      </c>
      <c r="D18" s="47">
        <v>0</v>
      </c>
      <c r="E18" s="43" t="s">
        <v>6</v>
      </c>
      <c r="F18" s="47">
        <v>24</v>
      </c>
    </row>
    <row r="19" spans="1:6" x14ac:dyDescent="0.35">
      <c r="A19" s="7" t="s">
        <v>124</v>
      </c>
      <c r="B19" s="47">
        <v>20006</v>
      </c>
      <c r="C19" s="43" t="s">
        <v>5</v>
      </c>
      <c r="D19" s="47">
        <v>0</v>
      </c>
      <c r="E19" s="43" t="s">
        <v>6</v>
      </c>
      <c r="F19" s="47">
        <v>24</v>
      </c>
    </row>
    <row r="20" spans="1:6" x14ac:dyDescent="0.35">
      <c r="A20" s="7" t="s">
        <v>125</v>
      </c>
      <c r="B20" s="47">
        <v>20008</v>
      </c>
      <c r="C20" s="43" t="s">
        <v>5</v>
      </c>
      <c r="D20" s="47">
        <v>0</v>
      </c>
      <c r="E20" s="43" t="s">
        <v>6</v>
      </c>
      <c r="F20" s="47">
        <v>24</v>
      </c>
    </row>
    <row r="21" spans="1:6" x14ac:dyDescent="0.35">
      <c r="A21" s="7" t="s">
        <v>126</v>
      </c>
      <c r="B21" s="47">
        <v>20010</v>
      </c>
      <c r="C21" s="43" t="s">
        <v>5</v>
      </c>
      <c r="D21" s="47">
        <v>0</v>
      </c>
      <c r="E21" s="43" t="s">
        <v>6</v>
      </c>
      <c r="F21" s="47">
        <v>24</v>
      </c>
    </row>
    <row r="22" spans="1:6" x14ac:dyDescent="0.35">
      <c r="A22" s="7" t="s">
        <v>127</v>
      </c>
      <c r="B22" s="47">
        <v>20012</v>
      </c>
      <c r="C22" s="43" t="s">
        <v>5</v>
      </c>
      <c r="D22" s="47">
        <v>0</v>
      </c>
      <c r="E22" s="43" t="s">
        <v>6</v>
      </c>
      <c r="F22" s="47">
        <v>24</v>
      </c>
    </row>
    <row r="23" spans="1:6" x14ac:dyDescent="0.35">
      <c r="A23" s="7" t="s">
        <v>128</v>
      </c>
      <c r="B23" s="47">
        <v>20014</v>
      </c>
      <c r="C23" s="43" t="s">
        <v>5</v>
      </c>
      <c r="D23" s="47">
        <v>0</v>
      </c>
      <c r="E23" s="43" t="s">
        <v>6</v>
      </c>
      <c r="F23" s="47">
        <v>24</v>
      </c>
    </row>
    <row r="24" spans="1:6" x14ac:dyDescent="0.35">
      <c r="A24" s="7" t="s">
        <v>129</v>
      </c>
      <c r="B24" s="47">
        <v>20016</v>
      </c>
      <c r="C24" s="43" t="s">
        <v>5</v>
      </c>
      <c r="D24" s="47">
        <v>0</v>
      </c>
      <c r="E24" s="43" t="s">
        <v>6</v>
      </c>
      <c r="F24" s="47">
        <v>24</v>
      </c>
    </row>
    <row r="25" spans="1:6" x14ac:dyDescent="0.35">
      <c r="A25" s="7" t="s">
        <v>130</v>
      </c>
      <c r="B25" s="47">
        <v>20018</v>
      </c>
      <c r="C25" s="43" t="s">
        <v>5</v>
      </c>
      <c r="D25" s="47">
        <v>0</v>
      </c>
      <c r="E25" s="43" t="s">
        <v>6</v>
      </c>
      <c r="F25" s="47">
        <v>24</v>
      </c>
    </row>
    <row r="26" spans="1:6" x14ac:dyDescent="0.35">
      <c r="A26" s="7" t="s">
        <v>131</v>
      </c>
      <c r="B26" s="47">
        <v>20020</v>
      </c>
      <c r="C26" s="43" t="s">
        <v>5</v>
      </c>
      <c r="D26" s="47">
        <v>0</v>
      </c>
      <c r="E26" s="43" t="s">
        <v>6</v>
      </c>
      <c r="F26" s="47">
        <v>24</v>
      </c>
    </row>
    <row r="27" spans="1:6" x14ac:dyDescent="0.35">
      <c r="A27" s="7" t="s">
        <v>132</v>
      </c>
      <c r="B27" s="47">
        <v>20022</v>
      </c>
      <c r="C27" s="43" t="s">
        <v>5</v>
      </c>
      <c r="D27" s="47">
        <v>0</v>
      </c>
      <c r="E27" s="43" t="s">
        <v>6</v>
      </c>
      <c r="F27" s="47">
        <v>24</v>
      </c>
    </row>
    <row r="28" spans="1:6" x14ac:dyDescent="0.35">
      <c r="A28" s="7" t="s">
        <v>133</v>
      </c>
      <c r="B28" s="47">
        <v>20024</v>
      </c>
      <c r="C28" s="43" t="s">
        <v>5</v>
      </c>
      <c r="D28" s="47">
        <v>0</v>
      </c>
      <c r="E28" s="43" t="s">
        <v>6</v>
      </c>
      <c r="F28" s="47">
        <v>24</v>
      </c>
    </row>
    <row r="29" spans="1:6" x14ac:dyDescent="0.35">
      <c r="A29" s="7" t="s">
        <v>134</v>
      </c>
      <c r="B29" s="47">
        <v>20026</v>
      </c>
      <c r="C29" s="43" t="s">
        <v>5</v>
      </c>
      <c r="D29" s="47">
        <v>0</v>
      </c>
      <c r="E29" s="43" t="s">
        <v>6</v>
      </c>
      <c r="F29" s="47">
        <v>24</v>
      </c>
    </row>
    <row r="30" spans="1:6" x14ac:dyDescent="0.35">
      <c r="A30" s="7" t="s">
        <v>135</v>
      </c>
      <c r="B30" s="47">
        <v>20028</v>
      </c>
      <c r="C30" s="43" t="s">
        <v>5</v>
      </c>
      <c r="D30" s="47">
        <v>0</v>
      </c>
      <c r="E30" s="43" t="s">
        <v>6</v>
      </c>
      <c r="F30" s="47">
        <v>24</v>
      </c>
    </row>
    <row r="31" spans="1:6" x14ac:dyDescent="0.35">
      <c r="A31" s="7" t="s">
        <v>136</v>
      </c>
      <c r="B31" s="47">
        <v>20030</v>
      </c>
      <c r="C31" s="43" t="s">
        <v>5</v>
      </c>
      <c r="D31" s="47">
        <v>0</v>
      </c>
      <c r="E31" s="43" t="s">
        <v>6</v>
      </c>
      <c r="F31" s="47">
        <v>24</v>
      </c>
    </row>
    <row r="32" spans="1:6" x14ac:dyDescent="0.35">
      <c r="A32" s="7" t="s">
        <v>137</v>
      </c>
      <c r="B32" s="47">
        <v>20032</v>
      </c>
      <c r="C32" s="43" t="s">
        <v>5</v>
      </c>
      <c r="D32" s="47">
        <v>0</v>
      </c>
      <c r="E32" s="43" t="s">
        <v>6</v>
      </c>
      <c r="F32" s="47">
        <v>24</v>
      </c>
    </row>
    <row r="33" spans="1:6" x14ac:dyDescent="0.35">
      <c r="A33" s="7" t="s">
        <v>138</v>
      </c>
      <c r="B33" s="47">
        <v>20034</v>
      </c>
      <c r="C33" s="43" t="s">
        <v>5</v>
      </c>
      <c r="D33" s="47">
        <v>0</v>
      </c>
      <c r="E33" s="43" t="s">
        <v>6</v>
      </c>
      <c r="F33" s="47">
        <v>24</v>
      </c>
    </row>
    <row r="34" spans="1:6" x14ac:dyDescent="0.35">
      <c r="A34" s="7" t="s">
        <v>139</v>
      </c>
      <c r="B34" s="47">
        <v>20036</v>
      </c>
      <c r="C34" s="43" t="s">
        <v>5</v>
      </c>
      <c r="D34" s="47">
        <v>0</v>
      </c>
      <c r="E34" s="43" t="s">
        <v>6</v>
      </c>
      <c r="F34" s="47">
        <v>24</v>
      </c>
    </row>
    <row r="35" spans="1:6" x14ac:dyDescent="0.35">
      <c r="A35" s="7" t="s">
        <v>140</v>
      </c>
      <c r="B35" s="47">
        <v>20038</v>
      </c>
      <c r="C35" s="43" t="s">
        <v>5</v>
      </c>
      <c r="D35" s="47">
        <v>0</v>
      </c>
      <c r="E35" s="43" t="s">
        <v>6</v>
      </c>
      <c r="F35" s="47">
        <v>24</v>
      </c>
    </row>
    <row r="36" spans="1:6" x14ac:dyDescent="0.35">
      <c r="A36" s="7" t="s">
        <v>141</v>
      </c>
      <c r="B36" s="47">
        <v>20040</v>
      </c>
      <c r="C36" s="43" t="s">
        <v>5</v>
      </c>
      <c r="D36" s="47">
        <v>0</v>
      </c>
      <c r="E36" s="43" t="s">
        <v>6</v>
      </c>
      <c r="F36" s="47">
        <v>24</v>
      </c>
    </row>
    <row r="37" spans="1:6" x14ac:dyDescent="0.35">
      <c r="A37" s="7" t="s">
        <v>142</v>
      </c>
      <c r="B37" s="47">
        <v>20042</v>
      </c>
      <c r="C37" s="43" t="s">
        <v>5</v>
      </c>
      <c r="D37" s="47">
        <v>0</v>
      </c>
      <c r="E37" s="43" t="s">
        <v>6</v>
      </c>
      <c r="F37" s="47">
        <v>24</v>
      </c>
    </row>
    <row r="38" spans="1:6" x14ac:dyDescent="0.35">
      <c r="A38" s="7" t="s">
        <v>143</v>
      </c>
      <c r="B38" s="47">
        <v>20044</v>
      </c>
      <c r="C38" s="43" t="s">
        <v>5</v>
      </c>
      <c r="D38" s="47">
        <v>0</v>
      </c>
      <c r="E38" s="43" t="s">
        <v>6</v>
      </c>
      <c r="F38" s="47">
        <v>24</v>
      </c>
    </row>
    <row r="39" spans="1:6" x14ac:dyDescent="0.35">
      <c r="A39" s="7" t="s">
        <v>144</v>
      </c>
      <c r="B39" s="47">
        <v>20046</v>
      </c>
      <c r="C39" s="43" t="s">
        <v>5</v>
      </c>
      <c r="D39" s="47">
        <v>0</v>
      </c>
      <c r="E39" s="43" t="s">
        <v>6</v>
      </c>
      <c r="F39" s="47">
        <v>24</v>
      </c>
    </row>
    <row r="40" spans="1:6" x14ac:dyDescent="0.35">
      <c r="A40" s="7" t="s">
        <v>145</v>
      </c>
      <c r="B40" s="47">
        <v>20048</v>
      </c>
      <c r="C40" s="43" t="s">
        <v>5</v>
      </c>
      <c r="D40" s="47">
        <v>0</v>
      </c>
      <c r="E40" s="43" t="s">
        <v>6</v>
      </c>
      <c r="F40" s="47">
        <v>24</v>
      </c>
    </row>
    <row r="41" spans="1:6" x14ac:dyDescent="0.35">
      <c r="A41" s="7" t="s">
        <v>146</v>
      </c>
      <c r="B41" s="47">
        <v>20050</v>
      </c>
      <c r="C41" s="43" t="s">
        <v>5</v>
      </c>
      <c r="D41" s="47">
        <v>0</v>
      </c>
      <c r="E41" s="43" t="s">
        <v>6</v>
      </c>
      <c r="F41" s="47">
        <v>24</v>
      </c>
    </row>
    <row r="42" spans="1:6" x14ac:dyDescent="0.35">
      <c r="A42" s="7" t="s">
        <v>147</v>
      </c>
      <c r="B42" s="47">
        <v>20052</v>
      </c>
      <c r="C42" s="43" t="s">
        <v>5</v>
      </c>
      <c r="D42" s="47">
        <v>0</v>
      </c>
      <c r="E42" s="43" t="s">
        <v>6</v>
      </c>
      <c r="F42" s="47">
        <v>24</v>
      </c>
    </row>
    <row r="43" spans="1:6" x14ac:dyDescent="0.35">
      <c r="A43" s="7" t="s">
        <v>148</v>
      </c>
      <c r="B43" s="47">
        <v>20054</v>
      </c>
      <c r="C43" s="43" t="s">
        <v>5</v>
      </c>
      <c r="D43" s="47">
        <v>0</v>
      </c>
      <c r="E43" s="43" t="s">
        <v>6</v>
      </c>
      <c r="F43" s="47">
        <v>24</v>
      </c>
    </row>
    <row r="44" spans="1:6" x14ac:dyDescent="0.35">
      <c r="A44" s="7" t="s">
        <v>149</v>
      </c>
      <c r="B44" s="47">
        <v>20058</v>
      </c>
      <c r="C44" s="43" t="s">
        <v>5</v>
      </c>
      <c r="D44" s="47">
        <v>0</v>
      </c>
      <c r="E44" s="43" t="s">
        <v>6</v>
      </c>
      <c r="F44" s="47">
        <v>24</v>
      </c>
    </row>
    <row r="45" spans="1:6" x14ac:dyDescent="0.35">
      <c r="A45" s="7" t="s">
        <v>150</v>
      </c>
      <c r="B45" s="47">
        <v>20060</v>
      </c>
      <c r="C45" s="43" t="s">
        <v>5</v>
      </c>
      <c r="D45" s="47">
        <v>0</v>
      </c>
      <c r="E45" s="43" t="s">
        <v>6</v>
      </c>
      <c r="F45" s="47">
        <v>24</v>
      </c>
    </row>
    <row r="46" spans="1:6" x14ac:dyDescent="0.35">
      <c r="A46" s="7" t="s">
        <v>112</v>
      </c>
      <c r="B46" s="47">
        <v>21000</v>
      </c>
      <c r="C46" s="43" t="s">
        <v>5</v>
      </c>
      <c r="D46" s="47">
        <v>0</v>
      </c>
      <c r="E46" s="43" t="s">
        <v>6</v>
      </c>
      <c r="F46" s="47">
        <v>24</v>
      </c>
    </row>
    <row r="47" spans="1:6" x14ac:dyDescent="0.35">
      <c r="A47" s="7" t="s">
        <v>113</v>
      </c>
      <c r="B47" s="47">
        <v>21002</v>
      </c>
      <c r="C47" s="43" t="s">
        <v>5</v>
      </c>
      <c r="D47" s="47">
        <v>0</v>
      </c>
      <c r="E47" s="43" t="s">
        <v>6</v>
      </c>
      <c r="F47" s="47">
        <v>24</v>
      </c>
    </row>
    <row r="48" spans="1:6" x14ac:dyDescent="0.35">
      <c r="A48" s="7" t="s">
        <v>114</v>
      </c>
      <c r="B48" s="47">
        <v>21004</v>
      </c>
      <c r="C48" s="43" t="s">
        <v>5</v>
      </c>
      <c r="D48" s="47">
        <v>0</v>
      </c>
      <c r="E48" s="43" t="s">
        <v>6</v>
      </c>
      <c r="F48" s="47">
        <v>24</v>
      </c>
    </row>
    <row r="49" spans="1:6" x14ac:dyDescent="0.35">
      <c r="A49" s="7" t="s">
        <v>115</v>
      </c>
      <c r="B49" s="47">
        <v>21006</v>
      </c>
      <c r="C49" s="43" t="s">
        <v>5</v>
      </c>
      <c r="D49" s="47">
        <v>0</v>
      </c>
      <c r="E49" s="43" t="s">
        <v>6</v>
      </c>
      <c r="F49" s="47">
        <v>24</v>
      </c>
    </row>
    <row r="50" spans="1:6" x14ac:dyDescent="0.35">
      <c r="A50" s="7" t="s">
        <v>116</v>
      </c>
      <c r="B50" s="47">
        <v>21008</v>
      </c>
      <c r="C50" s="43" t="s">
        <v>5</v>
      </c>
      <c r="D50" s="47">
        <v>0</v>
      </c>
      <c r="E50" s="43" t="s">
        <v>6</v>
      </c>
      <c r="F50" s="47">
        <v>24</v>
      </c>
    </row>
    <row r="51" spans="1:6" x14ac:dyDescent="0.35">
      <c r="A51" s="7" t="s">
        <v>117</v>
      </c>
      <c r="B51" s="47">
        <v>21010</v>
      </c>
      <c r="C51" s="43" t="s">
        <v>5</v>
      </c>
      <c r="D51" s="47">
        <v>0</v>
      </c>
      <c r="E51" s="43" t="s">
        <v>6</v>
      </c>
      <c r="F51" s="47">
        <v>24</v>
      </c>
    </row>
    <row r="52" spans="1:6" x14ac:dyDescent="0.35">
      <c r="A52" s="7" t="s">
        <v>118</v>
      </c>
      <c r="B52" s="47">
        <v>21012</v>
      </c>
      <c r="C52" s="43" t="s">
        <v>5</v>
      </c>
      <c r="D52" s="47">
        <v>0</v>
      </c>
      <c r="E52" s="43" t="s">
        <v>6</v>
      </c>
      <c r="F52" s="47">
        <v>24</v>
      </c>
    </row>
    <row r="53" spans="1:6" x14ac:dyDescent="0.35">
      <c r="A53" s="7" t="s">
        <v>119</v>
      </c>
      <c r="B53" s="47">
        <v>21014</v>
      </c>
      <c r="C53" s="43" t="s">
        <v>5</v>
      </c>
      <c r="D53" s="47">
        <v>0</v>
      </c>
      <c r="E53" s="43" t="s">
        <v>6</v>
      </c>
      <c r="F53" s="47">
        <v>24</v>
      </c>
    </row>
    <row r="54" spans="1:6" x14ac:dyDescent="0.35">
      <c r="A54" s="8" t="s">
        <v>120</v>
      </c>
      <c r="B54" s="48">
        <v>21016</v>
      </c>
      <c r="C54" s="46" t="s">
        <v>5</v>
      </c>
      <c r="D54" s="48">
        <v>0</v>
      </c>
      <c r="E54" s="46" t="s">
        <v>6</v>
      </c>
      <c r="F54" s="48">
        <v>24</v>
      </c>
    </row>
  </sheetData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3"/>
  <sheetViews>
    <sheetView zoomScaleNormal="100" workbookViewId="0">
      <selection activeCell="F19" sqref="F19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38" t="s">
        <v>85</v>
      </c>
      <c r="B1" s="37" t="s">
        <v>167</v>
      </c>
    </row>
    <row r="2" spans="1:3" ht="18.5" x14ac:dyDescent="0.45">
      <c r="B2" s="36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/>
    </row>
    <row r="7" spans="1:3" ht="14.5" x14ac:dyDescent="0.35">
      <c r="A7" s="3" t="s">
        <v>153</v>
      </c>
      <c r="B7" s="1"/>
    </row>
    <row r="10" spans="1:3" ht="23.5" x14ac:dyDescent="0.55000000000000004">
      <c r="A10" s="16" t="s">
        <v>162</v>
      </c>
    </row>
    <row r="11" spans="1:3" ht="14.5" x14ac:dyDescent="0.35">
      <c r="A11" s="51" t="s">
        <v>86</v>
      </c>
      <c r="B11" s="49" t="s">
        <v>87</v>
      </c>
      <c r="C11" s="49" t="s">
        <v>88</v>
      </c>
    </row>
    <row r="12" spans="1:3" ht="14.5" x14ac:dyDescent="0.35">
      <c r="A12" s="51">
        <v>44927</v>
      </c>
      <c r="B12" s="49" t="s">
        <v>59</v>
      </c>
      <c r="C12" s="49">
        <v>200</v>
      </c>
    </row>
    <row r="13" spans="1:3" ht="14.5" x14ac:dyDescent="0.35">
      <c r="A13" s="51">
        <v>44928</v>
      </c>
      <c r="B13" s="49" t="s">
        <v>60</v>
      </c>
      <c r="C13" s="49">
        <v>20</v>
      </c>
    </row>
    <row r="14" spans="1:3" ht="14.5" x14ac:dyDescent="0.35">
      <c r="A14" s="51">
        <v>44929</v>
      </c>
      <c r="B14" s="49" t="s">
        <v>61</v>
      </c>
      <c r="C14" s="49">
        <v>50</v>
      </c>
    </row>
    <row r="15" spans="1:3" ht="14.5" x14ac:dyDescent="0.35">
      <c r="A15" s="51">
        <v>44930</v>
      </c>
      <c r="B15" s="49" t="s">
        <v>62</v>
      </c>
      <c r="C15" s="49">
        <v>20</v>
      </c>
    </row>
    <row r="16" spans="1:3" ht="14.5" x14ac:dyDescent="0.35">
      <c r="A16" s="51">
        <v>44931</v>
      </c>
      <c r="B16" s="49" t="s">
        <v>63</v>
      </c>
      <c r="C16" s="49">
        <v>10</v>
      </c>
    </row>
    <row r="17" spans="1:3" ht="14.5" x14ac:dyDescent="0.35">
      <c r="A17" s="51">
        <v>44932</v>
      </c>
      <c r="B17" s="49" t="s">
        <v>154</v>
      </c>
      <c r="C17" s="49">
        <v>150</v>
      </c>
    </row>
    <row r="18" spans="1:3" ht="14.5" x14ac:dyDescent="0.35">
      <c r="A18" s="51">
        <v>44933</v>
      </c>
      <c r="B18" s="49" t="s">
        <v>155</v>
      </c>
      <c r="C18" s="49">
        <v>80</v>
      </c>
    </row>
    <row r="19" spans="1:3" ht="14.5" x14ac:dyDescent="0.35">
      <c r="A19" s="51">
        <v>44934</v>
      </c>
      <c r="B19" s="49" t="s">
        <v>156</v>
      </c>
      <c r="C19" s="49">
        <v>20</v>
      </c>
    </row>
    <row r="20" spans="1:3" ht="14.5" x14ac:dyDescent="0.35">
      <c r="A20" s="51">
        <v>44935</v>
      </c>
      <c r="B20" s="49" t="s">
        <v>157</v>
      </c>
      <c r="C20" s="49">
        <v>30</v>
      </c>
    </row>
    <row r="21" spans="1:3" ht="14.5" x14ac:dyDescent="0.35">
      <c r="A21" s="51">
        <v>44936</v>
      </c>
      <c r="B21" s="49" t="s">
        <v>158</v>
      </c>
      <c r="C21" s="49">
        <v>20</v>
      </c>
    </row>
    <row r="22" spans="1:3" ht="14.5" x14ac:dyDescent="0.35">
      <c r="A22" s="44"/>
      <c r="B22" s="49" t="s">
        <v>159</v>
      </c>
      <c r="C22" s="50">
        <f>SUM(C12:C21)</f>
        <v>600</v>
      </c>
    </row>
    <row r="23" spans="1:3" ht="14.5" x14ac:dyDescent="0.35">
      <c r="B23" s="49"/>
      <c r="C23" s="5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C27" sqref="C27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38" t="s">
        <v>98</v>
      </c>
      <c r="B1" s="37" t="s">
        <v>175</v>
      </c>
    </row>
    <row r="3" spans="1:14" ht="14.5" x14ac:dyDescent="0.35">
      <c r="B3" s="1" t="s">
        <v>151</v>
      </c>
    </row>
    <row r="4" spans="1:14" ht="18.5" x14ac:dyDescent="0.45">
      <c r="A4" s="39" t="s">
        <v>53</v>
      </c>
      <c r="B4" s="1"/>
    </row>
    <row r="5" spans="1:14" ht="18.5" x14ac:dyDescent="0.45">
      <c r="A5" s="39" t="s">
        <v>153</v>
      </c>
      <c r="B5" s="1"/>
    </row>
    <row r="6" spans="1:14" ht="14.5" x14ac:dyDescent="0.35">
      <c r="A6" s="3"/>
      <c r="B6" s="1"/>
    </row>
    <row r="8" spans="1:14" ht="23.5" x14ac:dyDescent="0.55000000000000004">
      <c r="A8" s="16" t="s">
        <v>162</v>
      </c>
      <c r="M8" s="16" t="s">
        <v>163</v>
      </c>
    </row>
    <row r="9" spans="1:14" ht="14.5" x14ac:dyDescent="0.35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4.5" x14ac:dyDescent="0.35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4.5" x14ac:dyDescent="0.35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4.5" x14ac:dyDescent="0.35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4.5" x14ac:dyDescent="0.35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4.5" x14ac:dyDescent="0.35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4.5" x14ac:dyDescent="0.35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4.5" x14ac:dyDescent="0.35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4.5" x14ac:dyDescent="0.35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4.5" x14ac:dyDescent="0.35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5" x14ac:dyDescent="0.55000000000000004">
      <c r="A21" s="16" t="s">
        <v>168</v>
      </c>
    </row>
    <row r="22" spans="1:14" ht="14.5" x14ac:dyDescent="0.35">
      <c r="A22" s="12" t="s">
        <v>100</v>
      </c>
      <c r="B22" s="15" t="s">
        <v>101</v>
      </c>
      <c r="C22" s="14" t="s">
        <v>102</v>
      </c>
      <c r="F22" s="42"/>
      <c r="G22" s="42"/>
      <c r="H22" s="42"/>
    </row>
    <row r="23" spans="1:14" ht="14.5" x14ac:dyDescent="0.35">
      <c r="A23" s="7">
        <v>10100</v>
      </c>
      <c r="B23" s="10">
        <v>10102</v>
      </c>
      <c r="C23" s="53">
        <v>-1</v>
      </c>
      <c r="F23" s="42"/>
      <c r="G23" s="42"/>
      <c r="H23" s="42"/>
    </row>
    <row r="24" spans="1:14" ht="14.5" x14ac:dyDescent="0.35">
      <c r="A24" s="7">
        <v>10100</v>
      </c>
      <c r="B24" s="10">
        <v>10104</v>
      </c>
      <c r="C24" s="53">
        <v>95</v>
      </c>
      <c r="F24" s="42"/>
      <c r="G24" s="42"/>
      <c r="H24" s="42"/>
    </row>
    <row r="25" spans="1:14" ht="14.5" x14ac:dyDescent="0.35">
      <c r="A25" s="7">
        <v>10108</v>
      </c>
      <c r="B25" s="10">
        <v>10102</v>
      </c>
      <c r="C25" s="53">
        <v>-1</v>
      </c>
      <c r="F25" s="42"/>
      <c r="G25" s="42"/>
      <c r="H25" s="42"/>
    </row>
    <row r="26" spans="1:14" ht="14.5" x14ac:dyDescent="0.35">
      <c r="A26" s="7">
        <v>10100</v>
      </c>
      <c r="B26" s="10">
        <v>10106</v>
      </c>
      <c r="C26" s="53">
        <v>185</v>
      </c>
      <c r="F26" s="42"/>
      <c r="G26" s="42"/>
      <c r="H26" s="42"/>
    </row>
    <row r="27" spans="1:14" ht="14.5" x14ac:dyDescent="0.35">
      <c r="A27" s="7">
        <v>10108</v>
      </c>
      <c r="B27" s="10">
        <v>10110</v>
      </c>
      <c r="C27" s="53">
        <v>130</v>
      </c>
      <c r="F27" s="42"/>
      <c r="G27" s="42"/>
      <c r="H27" s="42"/>
    </row>
    <row r="28" spans="1:14" ht="14.5" x14ac:dyDescent="0.35">
      <c r="A28" s="7">
        <v>10102</v>
      </c>
      <c r="B28" s="10">
        <v>10104</v>
      </c>
      <c r="C28" s="53">
        <v>210</v>
      </c>
      <c r="F28" s="42"/>
      <c r="G28" s="42"/>
      <c r="H28" s="42"/>
    </row>
    <row r="29" spans="1:14" ht="14.5" x14ac:dyDescent="0.35">
      <c r="A29" s="7">
        <v>10106</v>
      </c>
      <c r="B29" s="10">
        <v>10108</v>
      </c>
      <c r="C29" s="53">
        <v>-1</v>
      </c>
      <c r="F29" s="42"/>
      <c r="G29" s="42"/>
      <c r="H29" s="42"/>
    </row>
    <row r="30" spans="1:14" ht="14.5" x14ac:dyDescent="0.35">
      <c r="A30" s="7">
        <v>10102</v>
      </c>
      <c r="B30" s="10">
        <v>10106</v>
      </c>
      <c r="C30" s="53">
        <v>120</v>
      </c>
      <c r="F30" s="42"/>
      <c r="G30" s="42"/>
      <c r="H30" s="42"/>
    </row>
    <row r="31" spans="1:14" ht="14.5" x14ac:dyDescent="0.35">
      <c r="A31" s="7">
        <v>10110</v>
      </c>
      <c r="B31" s="10">
        <v>10114</v>
      </c>
      <c r="C31" s="53">
        <v>-1</v>
      </c>
      <c r="F31" s="42"/>
      <c r="G31" s="42"/>
      <c r="H31" s="42"/>
    </row>
    <row r="32" spans="1:14" ht="14.5" x14ac:dyDescent="0.35">
      <c r="A32" s="7">
        <v>10104</v>
      </c>
      <c r="B32" s="10">
        <v>10106</v>
      </c>
      <c r="C32" s="53" t="s">
        <v>177</v>
      </c>
      <c r="F32" s="42"/>
      <c r="G32" s="42"/>
      <c r="H32" s="42"/>
    </row>
    <row r="33" spans="1:8" ht="14.5" x14ac:dyDescent="0.35">
      <c r="A33" s="7">
        <v>10110</v>
      </c>
      <c r="B33" s="10">
        <v>10112</v>
      </c>
      <c r="C33" s="53" t="s">
        <v>177</v>
      </c>
      <c r="F33" s="42"/>
      <c r="G33" s="42"/>
      <c r="H33" s="42"/>
    </row>
    <row r="34" spans="1:8" ht="14.5" x14ac:dyDescent="0.35">
      <c r="A34" s="7">
        <v>10100</v>
      </c>
      <c r="B34" s="10">
        <v>10114</v>
      </c>
      <c r="C34" s="53">
        <v>525</v>
      </c>
      <c r="F34" s="42"/>
      <c r="G34" s="42"/>
      <c r="H34" s="42"/>
    </row>
    <row r="35" spans="1:8" ht="14.5" x14ac:dyDescent="0.35">
      <c r="A35" s="8">
        <v>10112</v>
      </c>
      <c r="B35" s="11">
        <v>10116</v>
      </c>
      <c r="C35" s="53" t="s">
        <v>177</v>
      </c>
      <c r="F35" s="42"/>
      <c r="G35" s="42"/>
      <c r="H35" s="4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keerthana p</cp:lastModifiedBy>
  <dcterms:created xsi:type="dcterms:W3CDTF">2015-02-10T17:33:11Z</dcterms:created>
  <dcterms:modified xsi:type="dcterms:W3CDTF">2023-12-10T15:56:34Z</dcterms:modified>
</cp:coreProperties>
</file>